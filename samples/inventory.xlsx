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Suppli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SKU</v>
      </c>
      <c r="B1" t="str">
        <v>Product</v>
      </c>
      <c r="C1" t="str">
        <v>Warehouse</v>
      </c>
      <c r="D1" t="str">
        <v>In stock</v>
      </c>
      <c r="E1" t="str">
        <v>Reorder level</v>
      </c>
      <c r="F1" t="str">
        <v>Unit cost</v>
      </c>
      <c r="G1" t="str">
        <v>Last restock</v>
      </c>
      <c r="H1" t="str">
        <v>Stock value</v>
      </c>
    </row>
    <row r="2">
      <c r="A2" t="str">
        <v>SKU-100</v>
      </c>
      <c r="B2" t="str">
        <v>Laptop</v>
      </c>
      <c r="C2" t="str">
        <v>North</v>
      </c>
      <c r="D2">
        <v>179</v>
      </c>
      <c r="E2">
        <v>50</v>
      </c>
      <c r="F2">
        <v>570</v>
      </c>
      <c r="G2" s="1">
        <v>45791</v>
      </c>
      <c r="H2">
        <f>D2*F2</f>
        <v>102030</v>
      </c>
    </row>
    <row r="3">
      <c r="A3" t="str">
        <v>SKU-101</v>
      </c>
      <c r="B3" t="str">
        <v>Laptop</v>
      </c>
      <c r="C3" t="str">
        <v>South</v>
      </c>
      <c r="D3">
        <v>28</v>
      </c>
      <c r="E3">
        <v>50</v>
      </c>
      <c r="F3">
        <v>570</v>
      </c>
      <c r="G3" s="1">
        <v>45835</v>
      </c>
      <c r="H3">
        <f>D3*F3</f>
        <v>15960</v>
      </c>
    </row>
    <row r="4">
      <c r="A4" t="str">
        <v>SKU-102</v>
      </c>
      <c r="B4" t="str">
        <v>Laptop</v>
      </c>
      <c r="C4" t="str">
        <v>West</v>
      </c>
      <c r="D4">
        <v>14</v>
      </c>
      <c r="E4">
        <v>50</v>
      </c>
      <c r="F4">
        <v>570</v>
      </c>
      <c r="G4" s="1">
        <v>45761</v>
      </c>
      <c r="H4">
        <f>D4*F4</f>
        <v>7980</v>
      </c>
    </row>
    <row r="5">
      <c r="A5" t="str">
        <v>SKU-103</v>
      </c>
      <c r="B5" t="str">
        <v>Phone</v>
      </c>
      <c r="C5" t="str">
        <v>North</v>
      </c>
      <c r="D5">
        <v>84</v>
      </c>
      <c r="E5">
        <v>50</v>
      </c>
      <c r="F5">
        <v>372</v>
      </c>
      <c r="G5" s="1">
        <v>45906</v>
      </c>
      <c r="H5">
        <f>D5*F5</f>
        <v>31248</v>
      </c>
    </row>
    <row r="6">
      <c r="A6" t="str">
        <v>SKU-104</v>
      </c>
      <c r="B6" t="str">
        <v>Phone</v>
      </c>
      <c r="C6" t="str">
        <v>South</v>
      </c>
      <c r="D6">
        <v>311</v>
      </c>
      <c r="E6">
        <v>50</v>
      </c>
      <c r="F6">
        <v>372</v>
      </c>
      <c r="G6" s="1">
        <v>45932</v>
      </c>
      <c r="H6">
        <f>D6*F6</f>
        <v>115692</v>
      </c>
    </row>
    <row r="7">
      <c r="A7" t="str">
        <v>SKU-105</v>
      </c>
      <c r="B7" t="str">
        <v>Phone</v>
      </c>
      <c r="C7" t="str">
        <v>West</v>
      </c>
      <c r="D7">
        <v>376</v>
      </c>
      <c r="E7">
        <v>50</v>
      </c>
      <c r="F7">
        <v>372</v>
      </c>
      <c r="G7" s="1">
        <v>45689</v>
      </c>
      <c r="H7">
        <f>D7*F7</f>
        <v>139872</v>
      </c>
    </row>
    <row r="8">
      <c r="A8" t="str">
        <v>SKU-106</v>
      </c>
      <c r="B8" t="str">
        <v>Tablet</v>
      </c>
      <c r="C8" t="str">
        <v>North</v>
      </c>
      <c r="D8">
        <v>399</v>
      </c>
      <c r="E8">
        <v>50</v>
      </c>
      <c r="F8">
        <v>246</v>
      </c>
      <c r="G8" s="1">
        <v>45925</v>
      </c>
      <c r="H8">
        <f>D8*F8</f>
        <v>98154</v>
      </c>
    </row>
    <row r="9">
      <c r="A9" t="str">
        <v>SKU-107</v>
      </c>
      <c r="B9" t="str">
        <v>Tablet</v>
      </c>
      <c r="C9" t="str">
        <v>South</v>
      </c>
      <c r="D9">
        <v>129</v>
      </c>
      <c r="E9">
        <v>50</v>
      </c>
      <c r="F9">
        <v>246</v>
      </c>
      <c r="G9" s="1">
        <v>45864</v>
      </c>
      <c r="H9">
        <f>D9*F9</f>
        <v>31734</v>
      </c>
    </row>
    <row r="10">
      <c r="A10" t="str">
        <v>SKU-108</v>
      </c>
      <c r="B10" t="str">
        <v>Tablet</v>
      </c>
      <c r="C10" t="str">
        <v>West</v>
      </c>
      <c r="D10">
        <v>101</v>
      </c>
      <c r="E10">
        <v>50</v>
      </c>
      <c r="F10">
        <v>246</v>
      </c>
      <c r="G10" s="1">
        <v>45950</v>
      </c>
      <c r="H10">
        <f>D10*F10</f>
        <v>24846</v>
      </c>
    </row>
    <row r="11">
      <c r="A11" t="str">
        <v>SKU-109</v>
      </c>
      <c r="B11" t="str">
        <v>Monitor</v>
      </c>
      <c r="C11" t="str">
        <v>North</v>
      </c>
      <c r="D11">
        <v>309</v>
      </c>
      <c r="E11">
        <v>50</v>
      </c>
      <c r="F11">
        <v>138</v>
      </c>
      <c r="G11" s="1">
        <v>45719</v>
      </c>
      <c r="H11">
        <f>D11*F11</f>
        <v>42642</v>
      </c>
    </row>
    <row r="12">
      <c r="A12" t="str">
        <v>SKU-110</v>
      </c>
      <c r="B12" t="str">
        <v>Monitor</v>
      </c>
      <c r="C12" t="str">
        <v>South</v>
      </c>
      <c r="D12">
        <v>378</v>
      </c>
      <c r="E12">
        <v>50</v>
      </c>
      <c r="F12">
        <v>138</v>
      </c>
      <c r="G12" s="1">
        <v>45985</v>
      </c>
      <c r="H12">
        <f>D12*F12</f>
        <v>52164</v>
      </c>
    </row>
    <row r="13">
      <c r="A13" t="str">
        <v>SKU-111</v>
      </c>
      <c r="B13" t="str">
        <v>Monitor</v>
      </c>
      <c r="C13" t="str">
        <v>West</v>
      </c>
      <c r="D13">
        <v>354</v>
      </c>
      <c r="E13">
        <v>50</v>
      </c>
      <c r="F13">
        <v>138</v>
      </c>
      <c r="G13" s="1">
        <v>45812</v>
      </c>
      <c r="H13">
        <f>D13*F13</f>
        <v>48852</v>
      </c>
    </row>
    <row r="14">
      <c r="A14" t="str">
        <v>SKU-112</v>
      </c>
      <c r="B14" t="str">
        <v>Headphones</v>
      </c>
      <c r="C14" t="str">
        <v>North</v>
      </c>
      <c r="D14">
        <v>286</v>
      </c>
      <c r="E14">
        <v>50</v>
      </c>
      <c r="F14">
        <v>51</v>
      </c>
      <c r="G14" s="1">
        <v>45756</v>
      </c>
      <c r="H14">
        <f>D14*F14</f>
        <v>14586</v>
      </c>
    </row>
    <row r="15">
      <c r="A15" t="str">
        <v>SKU-113</v>
      </c>
      <c r="B15" t="str">
        <v>Headphones</v>
      </c>
      <c r="C15" t="str">
        <v>South</v>
      </c>
      <c r="D15">
        <v>42</v>
      </c>
      <c r="E15">
        <v>50</v>
      </c>
      <c r="F15">
        <v>51</v>
      </c>
      <c r="G15" s="1">
        <v>45877</v>
      </c>
      <c r="H15">
        <f>D15*F15</f>
        <v>2142</v>
      </c>
    </row>
    <row r="16">
      <c r="A16" t="str">
        <v>SKU-114</v>
      </c>
      <c r="B16" t="str">
        <v>Headphones</v>
      </c>
      <c r="C16" t="str">
        <v>West</v>
      </c>
      <c r="D16">
        <v>91</v>
      </c>
      <c r="E16">
        <v>50</v>
      </c>
      <c r="F16">
        <v>51</v>
      </c>
      <c r="G16" s="1">
        <v>45697</v>
      </c>
      <c r="H16">
        <f>D16*F16</f>
        <v>4641</v>
      </c>
    </row>
    <row r="17">
      <c r="A17" t="str">
        <v>SKU-115</v>
      </c>
      <c r="B17" t="str">
        <v>Keyboard</v>
      </c>
      <c r="C17" t="str">
        <v>North</v>
      </c>
      <c r="D17">
        <v>252</v>
      </c>
      <c r="E17">
        <v>50</v>
      </c>
      <c r="F17">
        <v>27</v>
      </c>
      <c r="G17" s="1">
        <v>45842</v>
      </c>
      <c r="H17">
        <f>D17*F17</f>
        <v>6804</v>
      </c>
    </row>
    <row r="18">
      <c r="A18" t="str">
        <v>SKU-116</v>
      </c>
      <c r="B18" t="str">
        <v>Keyboard</v>
      </c>
      <c r="C18" t="str">
        <v>South</v>
      </c>
      <c r="D18">
        <v>98</v>
      </c>
      <c r="E18">
        <v>50</v>
      </c>
      <c r="F18">
        <v>27</v>
      </c>
      <c r="G18" s="1">
        <v>45940</v>
      </c>
      <c r="H18">
        <f>D18*F18</f>
        <v>2646</v>
      </c>
    </row>
    <row r="19">
      <c r="A19" t="str">
        <v>SKU-117</v>
      </c>
      <c r="B19" t="str">
        <v>Keyboard</v>
      </c>
      <c r="C19" t="str">
        <v>West</v>
      </c>
      <c r="D19">
        <v>144</v>
      </c>
      <c r="E19">
        <v>50</v>
      </c>
      <c r="F19">
        <v>27</v>
      </c>
      <c r="G19" s="1">
        <v>45818</v>
      </c>
      <c r="H19">
        <f>D19*F19</f>
        <v>3888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Supplier</v>
      </c>
      <c r="B1" t="str">
        <v>Country</v>
      </c>
      <c r="C1" t="str">
        <v>Lead time (days)</v>
      </c>
      <c r="D1" t="str">
        <v>Rating</v>
      </c>
    </row>
    <row r="2">
      <c r="A2" t="str">
        <v>Shenzhen Parts Co</v>
      </c>
      <c r="B2" t="str">
        <v>China</v>
      </c>
      <c r="C2">
        <v>21</v>
      </c>
      <c r="D2">
        <v>4.6</v>
      </c>
    </row>
    <row r="3">
      <c r="A3" t="str">
        <v>Lagos Tech Supply</v>
      </c>
      <c r="B3" t="str">
        <v>Nigeria</v>
      </c>
      <c r="C3">
        <v>5</v>
      </c>
      <c r="D3">
        <v>4.1</v>
      </c>
    </row>
    <row r="4">
      <c r="A4" t="str">
        <v>Nairobi Components</v>
      </c>
      <c r="B4" t="str">
        <v>Kenya</v>
      </c>
      <c r="C4">
        <v>9</v>
      </c>
      <c r="D4">
        <v>3.9</v>
      </c>
    </row>
    <row r="5">
      <c r="A5" t="str">
        <v>Berlin Devices</v>
      </c>
      <c r="B5" t="str">
        <v>Germany</v>
      </c>
      <c r="C5">
        <v>14</v>
      </c>
      <c r="D5">
        <v>4.8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Suppliers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